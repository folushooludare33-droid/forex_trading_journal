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7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<sst xmlns="http://schemas.openxmlformats.org/spreadsheetml/2006/main" count="63" uniqueCount="38">
  <si>
    <t>Trade#</t>
  </si>
  <si>
    <t>Date</t>
  </si>
  <si>
    <t>Pair</t>
  </si>
  <si>
    <t>Direction</t>
  </si>
  <si>
    <t>Entry Price</t>
  </si>
  <si>
    <t>Exit Price</t>
  </si>
  <si>
    <t>Lots</t>
  </si>
  <si>
    <t>Risk($)</t>
  </si>
  <si>
    <t>Reward($)</t>
  </si>
  <si>
    <t>Win/Loss</t>
  </si>
  <si>
    <t>PnL</t>
  </si>
  <si>
    <t>Cumulative PnL</t>
  </si>
  <si>
    <t>Link to Sccreenshot</t>
  </si>
  <si>
    <t>Dashboard</t>
  </si>
  <si>
    <t>Wed, May 6</t>
  </si>
  <si>
    <t>EURUSD</t>
  </si>
  <si>
    <t>Bullish</t>
  </si>
  <si>
    <t>Win</t>
  </si>
  <si>
    <t>file:///C:/Users/Oludare Folusho/AppData/Local/Packages/Microsoft.ScreenSketch_8wekyb3d8bbwe/TempState/Screenshot 2026-05-20 094714.png</t>
  </si>
  <si>
    <t>Starting Balance</t>
  </si>
  <si>
    <t>Thur,May 7</t>
  </si>
  <si>
    <t>Loss</t>
  </si>
  <si>
    <t>file:///C:/Users/Oludare Folusho/AppData/Local/Packages/Microsoft.ScreenSketch_8wekyb3d8bbwe/TempState/Screenshot 2026-05-20 095452.png</t>
  </si>
  <si>
    <t>Current balance</t>
  </si>
  <si>
    <t>Fri, May 15</t>
  </si>
  <si>
    <t>Bearish</t>
  </si>
  <si>
    <t>file:///C:/Users/Oludare Folusho/AppData/Local/Packages/Microsoft.ScreenSketch_8wekyb3d8bbwe/TempState/Screenshot 2026-05-20 103051.png</t>
  </si>
  <si>
    <t>Total Trades</t>
  </si>
  <si>
    <t>file:///C:/Users/Oludare Folusho/AppData/Local/Packages/Microsoft.ScreenSketch_8wekyb3d8bbwe/TempState/Screenshot 2026-05-20 103139.png</t>
  </si>
  <si>
    <t>Wins</t>
  </si>
  <si>
    <t>Mon, May 18</t>
  </si>
  <si>
    <t>Losses</t>
  </si>
  <si>
    <t>Win Rate</t>
  </si>
  <si>
    <t>Tues, May 19</t>
  </si>
  <si>
    <t>Max DD</t>
  </si>
  <si>
    <t>Total Drawdown $</t>
  </si>
  <si>
    <t>Wed, May 20</t>
  </si>
  <si>
    <t>Remaining Max Loss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</si>
</sst>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ddd\,mmmm\ d\,yyyy;@"/>
    <numFmt numFmtId="179" formatCode="0.00000_ "/>
    <numFmt numFmtId="180" formatCode="0.00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9.75"/>
      <color theme="1"/>
      <name val="Consolas"/>
      <charset val="134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  <xf numFmtId="0" fontId="1" fillId="0" borderId="0" xfId="0" applyFont="1">
      <alignment vertical="center"/>
    </xf>
    <xf numFmtId="178" fontId="1" fillId="0" borderId="0" xfId="0" applyNumberFormat="1" applyFont="1">
      <alignment vertical="center"/>
    </xf>
    <xf numFmtId="179" fontId="1" fillId="0" borderId="0" xfId="0" applyNumberFormat="1" applyFont="1">
      <alignment vertical="center"/>
    </xf>
    <xf numFmtId="180" fontId="1" fillId="0" borderId="0" xfId="0" applyNumberFormat="1" applyFont="1">
      <alignment vertical="center"/>
    </xf>
    <xf numFmtId="0" fontId="2" fillId="0" borderId="0" xfId="0" applyFont="1">
      <alignment vertical="center"/>
    </xf>
    <xf numFmtId="0" fontId="0" fillId="0" borderId="0" xfId="0" applyFont="1">
      <alignment vertical="center"/>
    </xf>
    <xf numFmtId="6" fontId="0" fillId="0" borderId="0" xfId="0" applyNumberFormat="1">
      <alignment vertical="center"/>
    </xf>
    <xf numFmtId="0" fontId="3" fillId="0" borderId="0" xfId="6" applyFont="1">
      <alignment vertical="center"/>
    </xf>
    <xf numFmtId="0" fontId="4" fillId="0" borderId="0" xfId="6">
      <alignment vertical="center"/>
    </xf>
    <xf numFmtId="1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1"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Sheet1!$L$2:$L$25</c:f>
              <c:numCache>
                <c:formatCode>"$"#,##0_);[Red]\("$"#,##0\)</c:formatCode>
                <c:ptCount val="24"/>
                <c:pt idx="0">
                  <c:v>102.52</c:v>
                </c:pt>
                <c:pt idx="1">
                  <c:v>77.32</c:v>
                </c:pt>
                <c:pt idx="2">
                  <c:v>180.68</c:v>
                </c:pt>
                <c:pt idx="3">
                  <c:v>155.48</c:v>
                </c:pt>
                <c:pt idx="4">
                  <c:v>258.56</c:v>
                </c:pt>
                <c:pt idx="5">
                  <c:v>233.18</c:v>
                </c:pt>
                <c:pt idx="6">
                  <c:v>334.64</c:v>
                </c:pt>
                <c:pt idx="7">
                  <c:v>437.6</c:v>
                </c:pt>
                <c:pt idx="8">
                  <c:v>539.45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761482216"/>
        <c:axId val="487101407"/>
      </c:lineChart>
      <c:catAx>
        <c:axId val="7614822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7101407"/>
        <c:crosses val="autoZero"/>
        <c:auto val="1"/>
        <c:lblAlgn val="ctr"/>
        <c:lblOffset val="100"/>
        <c:noMultiLvlLbl val="0"/>
      </c:catAx>
      <c:valAx>
        <c:axId val="487101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GB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148221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gradFill>
          <a:gsLst>
            <a:gs pos="100000">
              <a:schemeClr val="phClr"/>
            </a:gs>
            <a:gs pos="0">
              <a:schemeClr val="phClr">
                <a:hueOff val="-1670000"/>
              </a:schemeClr>
            </a:gs>
          </a:gsLst>
          <a:lin ang="0" scaled="1"/>
        </a:gra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14</xdr:col>
      <xdr:colOff>6350</xdr:colOff>
      <xdr:row>14</xdr:row>
      <xdr:rowOff>3175</xdr:rowOff>
    </xdr:from>
    <xdr:to>
      <xdr:col>20</xdr:col>
      <xdr:colOff>184150</xdr:colOff>
      <xdr:row>28</xdr:row>
      <xdr:rowOff>79375</xdr:rowOff>
    </xdr:to>
    <xdr:graphicFrame>
      <xdr:nvGraphicFramePr>
        <xdr:cNvPr id="5" name="Chart 4"/>
        <xdr:cNvGraphicFramePr/>
      </xdr:nvGraphicFramePr>
      <xdr:xfrm>
        <a:off x="11455400" y="26701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file:///C:/Users/Oludare Folusho/AppData/Local/Packages/Microsoft.ScreenSketch_8wekyb3d8bbwe/TempState/Screenshot 2026-05-20 103139.png" TargetMode="External"/><Relationship Id="rId4" Type="http://schemas.openxmlformats.org/officeDocument/2006/relationships/hyperlink" Target="file:///C:/Users/Oludare Folusho/AppData/Local/Packages/Microsoft.ScreenSketch_8wekyb3d8bbwe/TempState/Screenshot 2026-05-20 103051.png" TargetMode="External"/><Relationship Id="rId3" Type="http://schemas.openxmlformats.org/officeDocument/2006/relationships/hyperlink" Target="file:///C:/Users/Oludare Folusho/AppData/Local/Packages/Microsoft.ScreenSketch_8wekyb3d8bbwe/TempState/Screenshot 2026-05-20 095452.png" TargetMode="External"/><Relationship Id="rId2" Type="http://schemas.openxmlformats.org/officeDocument/2006/relationships/hyperlink" Target="file:///C:/Users/Oludare Folusho/AppData/Local/Packages/Microsoft.ScreenSketch_8wekyb3d8bbwe/TempState/Screenshot 2026-05-20 094714.png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4"/>
  <sheetViews>
    <sheetView tabSelected="1" zoomScale="85" zoomScaleNormal="85" workbookViewId="0">
      <pane ySplit="1" topLeftCell="A2" activePane="bottomLeft" state="frozen"/>
      <selection/>
      <selection pane="bottomLeft" activeCell="U32" sqref="U32"/>
    </sheetView>
  </sheetViews>
  <sheetFormatPr defaultColWidth="9.14285714285714" defaultRowHeight="15"/>
  <cols>
    <col min="2" max="2" width="13.7142857142857" style="2" customWidth="1"/>
    <col min="3" max="3" width="15.2857142857143" customWidth="1"/>
    <col min="4" max="4" width="13.7142857142857" customWidth="1"/>
    <col min="5" max="5" width="15.8571428571429" style="3" customWidth="1"/>
    <col min="6" max="6" width="16.2857142857143" style="3" customWidth="1"/>
    <col min="8" max="8" width="9.14285714285714" style="4"/>
    <col min="9" max="9" width="10.2857142857143" customWidth="1"/>
    <col min="10" max="10" width="10.8571428571429" customWidth="1"/>
    <col min="11" max="11" width="9.14285714285714" style="4"/>
    <col min="12" max="12" width="16.2857142857143" customWidth="1"/>
    <col min="13" max="13" width="22.7142857142857" customWidth="1"/>
    <col min="14" max="14" width="0.142857142857143" customWidth="1"/>
    <col min="15" max="15" width="18.4285714285714" customWidth="1"/>
    <col min="17" max="17" width="14.7142857142857" customWidth="1"/>
  </cols>
  <sheetData>
    <row r="1" s="1" customFormat="1" spans="1:15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5" t="s">
        <v>6</v>
      </c>
      <c r="H1" s="8" t="s">
        <v>7</v>
      </c>
      <c r="I1" s="5" t="s">
        <v>8</v>
      </c>
      <c r="J1" s="5" t="s">
        <v>9</v>
      </c>
      <c r="K1" s="8" t="s">
        <v>10</v>
      </c>
      <c r="L1" s="1" t="s">
        <v>11</v>
      </c>
      <c r="M1" s="1" t="s">
        <v>12</v>
      </c>
      <c r="O1" s="1" t="s">
        <v>13</v>
      </c>
    </row>
    <row r="2" spans="1:16">
      <c r="A2" s="9">
        <f>ROW()-1</f>
        <v>1</v>
      </c>
      <c r="B2" s="2" t="s">
        <v>14</v>
      </c>
      <c r="C2" t="s">
        <v>15</v>
      </c>
      <c r="D2" s="10" t="s">
        <v>16</v>
      </c>
      <c r="E2" s="3">
        <v>1.17351</v>
      </c>
      <c r="F2" s="3">
        <v>1.17586</v>
      </c>
      <c r="G2">
        <v>0.44</v>
      </c>
      <c r="H2" s="4">
        <v>25.52</v>
      </c>
      <c r="I2">
        <v>102.52</v>
      </c>
      <c r="J2" t="s">
        <v>17</v>
      </c>
      <c r="K2" s="4">
        <v>102.52</v>
      </c>
      <c r="L2" s="11">
        <f>K2</f>
        <v>102.52</v>
      </c>
      <c r="M2" s="12" t="s">
        <v>18</v>
      </c>
      <c r="O2" t="s">
        <v>19</v>
      </c>
      <c r="P2" s="11">
        <v>5000</v>
      </c>
    </row>
    <row r="3" spans="1:16">
      <c r="A3" s="9">
        <f t="shared" ref="A3:A13" si="0">ROW()-1</f>
        <v>2</v>
      </c>
      <c r="B3" s="2" t="s">
        <v>20</v>
      </c>
      <c r="C3" t="s">
        <v>15</v>
      </c>
      <c r="D3" t="s">
        <v>16</v>
      </c>
      <c r="E3" s="3">
        <v>1.1768</v>
      </c>
      <c r="F3" s="3">
        <v>1.17644</v>
      </c>
      <c r="G3" s="4">
        <v>0.7</v>
      </c>
      <c r="H3" s="4">
        <v>25.2</v>
      </c>
      <c r="I3">
        <v>102.52</v>
      </c>
      <c r="J3" t="s">
        <v>21</v>
      </c>
      <c r="K3" s="4">
        <v>-25.2</v>
      </c>
      <c r="L3" s="11">
        <f>L2+K3</f>
        <v>77.32</v>
      </c>
      <c r="M3" s="12" t="s">
        <v>22</v>
      </c>
      <c r="O3" t="s">
        <v>23</v>
      </c>
      <c r="P3" s="11">
        <f>P2+SUM(K:K)</f>
        <v>5539.45</v>
      </c>
    </row>
    <row r="4" spans="1:16">
      <c r="A4" s="9">
        <f t="shared" si="0"/>
        <v>3</v>
      </c>
      <c r="B4" s="2" t="s">
        <v>24</v>
      </c>
      <c r="C4" t="s">
        <v>15</v>
      </c>
      <c r="D4" t="s">
        <v>25</v>
      </c>
      <c r="E4" s="3">
        <v>1.17472</v>
      </c>
      <c r="F4" s="3">
        <v>1.16198</v>
      </c>
      <c r="G4">
        <v>0.38</v>
      </c>
      <c r="H4" s="4">
        <v>25.46</v>
      </c>
      <c r="I4">
        <v>103.36</v>
      </c>
      <c r="J4" t="s">
        <v>17</v>
      </c>
      <c r="K4" s="4">
        <v>103.36</v>
      </c>
      <c r="L4" s="11">
        <f>L3+K4</f>
        <v>180.68</v>
      </c>
      <c r="M4" s="13" t="s">
        <v>26</v>
      </c>
      <c r="O4" t="s">
        <v>27</v>
      </c>
      <c r="P4">
        <f>COUNTA(K:K)-1</f>
        <v>9</v>
      </c>
    </row>
    <row r="5" spans="1:16">
      <c r="A5" s="9">
        <f t="shared" si="0"/>
        <v>4</v>
      </c>
      <c r="B5" s="2" t="s">
        <v>24</v>
      </c>
      <c r="C5" t="s">
        <v>15</v>
      </c>
      <c r="D5" t="s">
        <v>25</v>
      </c>
      <c r="E5" s="3">
        <v>1.16303</v>
      </c>
      <c r="F5" s="3">
        <v>1.16333</v>
      </c>
      <c r="G5">
        <v>0.84</v>
      </c>
      <c r="H5" s="4">
        <v>25.2</v>
      </c>
      <c r="I5">
        <v>102.52</v>
      </c>
      <c r="J5" t="s">
        <v>21</v>
      </c>
      <c r="K5" s="4">
        <v>-25.2</v>
      </c>
      <c r="L5" s="11">
        <f>L4+K5</f>
        <v>155.48</v>
      </c>
      <c r="M5" s="13" t="s">
        <v>28</v>
      </c>
      <c r="O5" t="s">
        <v>29</v>
      </c>
      <c r="P5">
        <f>COUNTIF(J:J,"Win")</f>
        <v>6</v>
      </c>
    </row>
    <row r="6" spans="1:16">
      <c r="A6" s="9">
        <f t="shared" si="0"/>
        <v>5</v>
      </c>
      <c r="B6" s="2" t="s">
        <v>30</v>
      </c>
      <c r="C6" t="s">
        <v>15</v>
      </c>
      <c r="D6" t="s">
        <v>16</v>
      </c>
      <c r="E6" s="3">
        <v>1.16345</v>
      </c>
      <c r="F6" s="3">
        <v>1.16519</v>
      </c>
      <c r="G6" s="4">
        <v>0.6</v>
      </c>
      <c r="H6" s="4">
        <v>25.8</v>
      </c>
      <c r="I6">
        <v>103.08</v>
      </c>
      <c r="J6" t="s">
        <v>17</v>
      </c>
      <c r="K6" s="4">
        <v>103.08</v>
      </c>
      <c r="L6" s="11">
        <f>L5+K6</f>
        <v>258.56</v>
      </c>
      <c r="O6" t="s">
        <v>31</v>
      </c>
      <c r="P6">
        <f>COUNTIF(J:J,"Loss")</f>
        <v>3</v>
      </c>
    </row>
    <row r="7" spans="1:16">
      <c r="A7" s="9">
        <f t="shared" si="0"/>
        <v>6</v>
      </c>
      <c r="B7" s="2" t="s">
        <v>30</v>
      </c>
      <c r="C7" t="s">
        <v>15</v>
      </c>
      <c r="D7" t="s">
        <v>16</v>
      </c>
      <c r="E7" s="3">
        <v>1.16443</v>
      </c>
      <c r="F7" s="3">
        <v>1.16387</v>
      </c>
      <c r="G7">
        <v>0.47</v>
      </c>
      <c r="H7" s="4">
        <v>25.38</v>
      </c>
      <c r="I7">
        <v>102.46</v>
      </c>
      <c r="J7" t="s">
        <v>21</v>
      </c>
      <c r="K7" s="4">
        <v>-25.38</v>
      </c>
      <c r="L7" s="11">
        <f t="shared" ref="L5:L11" si="1">L6+K7</f>
        <v>233.18</v>
      </c>
      <c r="O7" t="s">
        <v>32</v>
      </c>
      <c r="P7" s="14">
        <f>P5/P4</f>
        <v>0.666666666666667</v>
      </c>
    </row>
    <row r="8" spans="1:16">
      <c r="A8" s="9">
        <f t="shared" si="0"/>
        <v>7</v>
      </c>
      <c r="B8" s="2" t="s">
        <v>33</v>
      </c>
      <c r="C8" t="s">
        <v>15</v>
      </c>
      <c r="D8" t="s">
        <v>25</v>
      </c>
      <c r="E8" s="3">
        <v>1.1642</v>
      </c>
      <c r="F8" s="3">
        <v>1.16441</v>
      </c>
      <c r="G8">
        <v>1.14</v>
      </c>
      <c r="H8" s="4">
        <v>25.08</v>
      </c>
      <c r="I8">
        <v>101.46</v>
      </c>
      <c r="J8" t="s">
        <v>17</v>
      </c>
      <c r="K8" s="4">
        <v>101.46</v>
      </c>
      <c r="L8" s="11">
        <f t="shared" si="1"/>
        <v>334.64</v>
      </c>
      <c r="O8" t="s">
        <v>34</v>
      </c>
      <c r="P8" s="11">
        <v>500</v>
      </c>
    </row>
    <row r="9" spans="1:16">
      <c r="A9" s="9">
        <f t="shared" si="0"/>
        <v>8</v>
      </c>
      <c r="B9" s="2" t="s">
        <v>33</v>
      </c>
      <c r="C9" t="s">
        <v>15</v>
      </c>
      <c r="D9" t="s">
        <v>25</v>
      </c>
      <c r="E9" s="3">
        <v>1.16234</v>
      </c>
      <c r="F9" s="3">
        <v>1.16253</v>
      </c>
      <c r="G9">
        <v>1.32</v>
      </c>
      <c r="H9" s="4">
        <v>25.08</v>
      </c>
      <c r="I9">
        <v>102.96</v>
      </c>
      <c r="J9" t="s">
        <v>17</v>
      </c>
      <c r="K9" s="4">
        <v>102.96</v>
      </c>
      <c r="L9" s="11">
        <f t="shared" si="1"/>
        <v>437.6</v>
      </c>
      <c r="O9" t="s">
        <v>35</v>
      </c>
      <c r="P9">
        <f>IF(P3&lt;5000,5000-P3,0)</f>
        <v>0</v>
      </c>
    </row>
    <row r="10" spans="1:13">
      <c r="A10" s="9">
        <f t="shared" si="0"/>
        <v>9</v>
      </c>
      <c r="B10" s="2" t="s">
        <v>36</v>
      </c>
      <c r="C10" t="s">
        <v>15</v>
      </c>
      <c r="D10" t="s">
        <v>25</v>
      </c>
      <c r="E10" s="3">
        <v>1.16004</v>
      </c>
      <c r="F10" s="3">
        <v>1.16033</v>
      </c>
      <c r="G10">
        <v>0.97</v>
      </c>
      <c r="H10" s="4">
        <v>25.22</v>
      </c>
      <c r="I10">
        <v>101.85</v>
      </c>
      <c r="J10" t="s">
        <v>17</v>
      </c>
      <c r="K10" s="4">
        <v>101.85</v>
      </c>
      <c r="L10" s="11">
        <f t="shared" si="1"/>
        <v>539.45</v>
      </c>
      <c r="M10" s="12"/>
    </row>
    <row r="11" spans="1:12">
      <c r="A11" s="9">
        <f t="shared" si="0"/>
        <v>10</v>
      </c>
      <c r="L11" s="11"/>
    </row>
    <row r="12" spans="1:16">
      <c r="A12" s="9">
        <f t="shared" si="0"/>
        <v>11</v>
      </c>
      <c r="O12" t="s">
        <v>37</v>
      </c>
      <c r="P12" s="11">
        <f>P3-4500</f>
        <v>1039.45</v>
      </c>
    </row>
    <row r="13" spans="1:1">
      <c r="A13" s="9">
        <f t="shared" si="0"/>
        <v>12</v>
      </c>
    </row>
    <row r="14" spans="1:1">
      <c r="A14" s="9">
        <f t="shared" ref="A14:A23" si="2">ROW()-1</f>
        <v>13</v>
      </c>
    </row>
    <row r="15" spans="1:1">
      <c r="A15" s="9">
        <f t="shared" si="2"/>
        <v>14</v>
      </c>
    </row>
    <row r="16" spans="1:1">
      <c r="A16" s="9">
        <f t="shared" si="2"/>
        <v>15</v>
      </c>
    </row>
    <row r="17" spans="1:1">
      <c r="A17" s="9">
        <f t="shared" si="2"/>
        <v>16</v>
      </c>
    </row>
    <row r="18" spans="1:1">
      <c r="A18" s="9">
        <f t="shared" si="2"/>
        <v>17</v>
      </c>
    </row>
    <row r="19" spans="1:1">
      <c r="A19" s="9">
        <f t="shared" si="2"/>
        <v>18</v>
      </c>
    </row>
    <row r="20" spans="1:1">
      <c r="A20" s="9">
        <f t="shared" si="2"/>
        <v>19</v>
      </c>
    </row>
    <row r="21" spans="1:1">
      <c r="A21" s="9">
        <f t="shared" si="2"/>
        <v>20</v>
      </c>
    </row>
    <row r="22" spans="1:1">
      <c r="A22" s="9">
        <f t="shared" si="2"/>
        <v>21</v>
      </c>
    </row>
    <row r="23" spans="1:1">
      <c r="A23" s="9">
        <f t="shared" si="2"/>
        <v>22</v>
      </c>
    </row>
    <row r="24" spans="1:1">
      <c r="A24" s="9">
        <f t="shared" ref="A24:A34" si="3">ROW()-1</f>
        <v>23</v>
      </c>
    </row>
    <row r="25" spans="1:1">
      <c r="A25" s="9">
        <f t="shared" si="3"/>
        <v>24</v>
      </c>
    </row>
    <row r="26" spans="1:1">
      <c r="A26" s="9">
        <f t="shared" si="3"/>
        <v>25</v>
      </c>
    </row>
    <row r="27" spans="1:1">
      <c r="A27" s="9">
        <f t="shared" si="3"/>
        <v>26</v>
      </c>
    </row>
    <row r="28" spans="1:1">
      <c r="A28" s="9">
        <f t="shared" si="3"/>
        <v>27</v>
      </c>
    </row>
    <row r="29" spans="1:1">
      <c r="A29" s="9">
        <f t="shared" si="3"/>
        <v>28</v>
      </c>
    </row>
    <row r="30" spans="1:1">
      <c r="A30" s="9">
        <f t="shared" si="3"/>
        <v>29</v>
      </c>
    </row>
    <row r="31" spans="1:1">
      <c r="A31" s="9">
        <f>ROW()-1</f>
        <v>30</v>
      </c>
    </row>
    <row r="32" spans="1:1">
      <c r="A32" s="9"/>
    </row>
    <row r="33" spans="1:1">
      <c r="A33" s="9"/>
    </row>
    <row r="34" spans="1:1">
      <c r="A34" s="9"/>
    </row>
  </sheetData>
  <conditionalFormatting sqref="J2:J32">
    <cfRule type="cellIs" dxfId="0" priority="4" operator="greaterThan">
      <formula>0</formula>
    </cfRule>
  </conditionalFormatting>
  <conditionalFormatting sqref="J2:J50">
    <cfRule type="containsText" dxfId="1" priority="2" operator="between" text="Win">
      <formula>NOT(ISERROR(SEARCH("Win",J2)))</formula>
    </cfRule>
  </conditionalFormatting>
  <conditionalFormatting sqref="J2:J31">
    <cfRule type="containsText" dxfId="2" priority="1" operator="between" text="Loss">
      <formula>NOT(ISERROR(SEARCH("Loss",J2)))</formula>
    </cfRule>
  </conditionalFormatting>
  <conditionalFormatting sqref="J9:J40">
    <cfRule type="cellIs" dxfId="3" priority="3" operator="lessThan">
      <formula>0</formula>
    </cfRule>
  </conditionalFormatting>
  <hyperlinks>
    <hyperlink ref="M2" r:id="rId2" display="file:///C:/Users/Oludare Folusho/AppData/Local/Packages/Microsoft.ScreenSketch_8wekyb3d8bbwe/TempState/Screenshot 2026-05-20 094714.png"/>
    <hyperlink ref="M3" r:id="rId3" display="file:///C:/Users/Oludare Folusho/AppData/Local/Packages/Microsoft.ScreenSketch_8wekyb3d8bbwe/TempState/Screenshot 2026-05-20 095452.png"/>
    <hyperlink ref="M4" r:id="rId4" display="file:///C:/Users/Oludare Folusho/AppData/Local/Packages/Microsoft.ScreenSketch_8wekyb3d8bbwe/TempState/Screenshot 2026-05-20 103051.png"/>
    <hyperlink ref="M5" r:id="rId5" display="file:///C:/Users/Oludare Folusho/AppData/Local/Packages/Microsoft.ScreenSketch_8wekyb3d8bbwe/TempState/Screenshot 2026-05-20 103139.png"/>
  </hyperlink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Oludare Folusho</dc:creator>
  <cp:lastModifiedBy>Oludare Folusho</cp:lastModifiedBy>
  <dcterms:created xsi:type="dcterms:W3CDTF">2026-05-20T01:25:51Z</dcterms:created>
  <dcterms:modified xsi:type="dcterms:W3CDTF">2026-05-20T10:07:37Z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EAD973599B9F48129BF444A139E4A226_13</vt:lpwstr>
  </property>
  <property fmtid="{D5CDD505-2E9C-101B-9397-08002B2CF9AE}" pid="3" name="KSOProductBuildVer">
    <vt:lpwstr>2057-12.2.0.19821</vt:lpwstr>
  </property>
</Properties>
</file>